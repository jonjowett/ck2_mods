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<sst xmlns="http://schemas.openxmlformats.org/spreadsheetml/2006/main" count="9" uniqueCount="9">
  <si>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Frequency</t>
  </si>
  <si>
    <t xml:space="preserve">Cumulative</t>
  </si>
  <si>
    <t xml:space="preserve">Use this box for median?</t>
  </si>
  <si>
    <t xml:space="preserve">Fraction of this box which is below median</t>
  </si>
  <si>
    <t xml:space="preserve">Median</t>
  </si>
  <si>
    <t xml:space="preserve">Basic</t>
  </si>
  <si>
    <t xml:space="preserve">Superior</t>
  </si>
  <si>
    <t xml:space="preserve">Superb</t>
  </si>
  <si>
    <t xml:space="preserve">Mean: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</si>
</sst>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N2" activeCellId="0" sqref="N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1" style="0" width="3.97"/>
    <col collapsed="false" customWidth="true" hidden="false" outlineLevel="0" max="3" min="3" style="0" width="1.24"/>
    <col collapsed="false" customWidth="true" hidden="false" outlineLevel="0" max="7" min="7" style="0" width="1.24"/>
    <col collapsed="false" customWidth="true" hidden="false" outlineLevel="0" max="11" min="11" style="0" width="1.24"/>
    <col collapsed="false" customWidth="true" hidden="false" outlineLevel="0" max="15" min="15" style="0" width="1.24"/>
    <col collapsed="false" customWidth="true" hidden="false" outlineLevel="0" max="19" min="19" style="0" width="1.13"/>
  </cols>
  <sheetData>
    <row r="1" customFormat="false" ht="12.8" hidden="false" customHeight="false" outlineLevel="0" collapsed="false">
      <c r="A1" s="1"/>
      <c r="B1" s="1"/>
      <c r="D1" s="0" t="s">
        <v>0</v>
      </c>
      <c r="H1" s="0" t="s">
        <v>1</v>
      </c>
      <c r="L1" s="0" t="s">
        <v>2</v>
      </c>
      <c r="N1" s="0" t="n">
        <v>50</v>
      </c>
      <c r="P1" s="0" t="s">
        <v>3</v>
      </c>
      <c r="T1" s="0" t="s">
        <v>4</v>
      </c>
    </row>
    <row r="2" customFormat="false" ht="12.8" hidden="false" customHeight="false" outlineLevel="0" collapsed="false">
      <c r="A2" s="1"/>
      <c r="B2" s="1"/>
      <c r="D2" s="0" t="s">
        <v>5</v>
      </c>
      <c r="E2" s="0" t="s">
        <v>6</v>
      </c>
      <c r="F2" s="0" t="s">
        <v>7</v>
      </c>
      <c r="H2" s="0" t="str">
        <f aca="false">D2</f>
        <v>Basic</v>
      </c>
      <c r="I2" s="0" t="str">
        <f aca="false">E2</f>
        <v>Superior</v>
      </c>
      <c r="J2" s="0" t="str">
        <f aca="false">F2</f>
        <v>Superb</v>
      </c>
      <c r="L2" s="0" t="str">
        <f aca="false">H2</f>
        <v>Basic</v>
      </c>
      <c r="M2" s="0" t="str">
        <f aca="false">I2</f>
        <v>Superior</v>
      </c>
      <c r="N2" s="0" t="str">
        <f aca="false">J2</f>
        <v>Superb</v>
      </c>
      <c r="P2" s="0" t="str">
        <f aca="false">L2</f>
        <v>Basic</v>
      </c>
      <c r="Q2" s="0" t="str">
        <f aca="false">M2</f>
        <v>Superior</v>
      </c>
      <c r="R2" s="0" t="str">
        <f aca="false">N2</f>
        <v>Superb</v>
      </c>
      <c r="T2" s="0" t="str">
        <f aca="false">P2</f>
        <v>Basic</v>
      </c>
      <c r="U2" s="0" t="str">
        <f aca="false">Q2</f>
        <v>Superior</v>
      </c>
      <c r="V2" s="0" t="str">
        <f aca="false">R2</f>
        <v>Superb</v>
      </c>
    </row>
    <row r="3" customFormat="false" ht="13" hidden="false" customHeight="false" outlineLevel="0" collapsed="false">
      <c r="A3" s="1" t="n">
        <v>0</v>
      </c>
      <c r="B3" s="1" t="n">
        <v>9</v>
      </c>
      <c r="D3" s="1" t="n">
        <v>98</v>
      </c>
      <c r="E3" s="0" t="n">
        <v>3</v>
      </c>
      <c r="F3" s="1" t="n">
        <v>0</v>
      </c>
      <c r="H3" s="0" t="n">
        <f aca="false">D3</f>
        <v>98</v>
      </c>
      <c r="I3" s="0" t="n">
        <f aca="false">E3</f>
        <v>3</v>
      </c>
      <c r="J3" s="0" t="n">
        <f aca="false">F3</f>
        <v>0</v>
      </c>
    </row>
    <row r="4" customFormat="false" ht="13" hidden="false" customHeight="false" outlineLevel="0" collapsed="false">
      <c r="A4" s="1" t="n">
        <v>10</v>
      </c>
      <c r="B4" s="1" t="n">
        <v>14</v>
      </c>
      <c r="D4" s="1" t="n">
        <v>226</v>
      </c>
      <c r="E4" s="0" t="n">
        <v>42</v>
      </c>
      <c r="F4" s="1" t="n">
        <v>0</v>
      </c>
      <c r="H4" s="0" t="n">
        <f aca="false">D4+H3</f>
        <v>324</v>
      </c>
      <c r="I4" s="0" t="n">
        <f aca="false">E4+I3</f>
        <v>45</v>
      </c>
      <c r="J4" s="0" t="n">
        <f aca="false">F4+J3</f>
        <v>0</v>
      </c>
      <c r="L4" s="2" t="b">
        <f aca="false">AND(H3&lt;$N$1,H4&gt;=$N$1)</f>
        <v>0</v>
      </c>
      <c r="M4" s="2" t="b">
        <f aca="false">AND(I3&lt;$N$1,I4&gt;=$N$1)</f>
        <v>0</v>
      </c>
      <c r="N4" s="2" t="b">
        <f aca="false">AND(J3&lt;$N$1,J4&gt;=$N$1)</f>
        <v>0</v>
      </c>
      <c r="P4" s="2" t="str">
        <f aca="false">IF(L4,(D4-(H4-$N$1))/D4,"")</f>
        <v/>
      </c>
      <c r="Q4" s="2" t="str">
        <f aca="false">IF(M4,(E4-(I4-$N$1))/E4,"")</f>
        <v/>
      </c>
      <c r="R4" s="2" t="str">
        <f aca="false">IF(N4,(F4-(J4-$N$1))/F4,"")</f>
        <v/>
      </c>
      <c r="T4" s="2" t="str">
        <f aca="false">IF(L4,$A4+P4*($B4-$A4),"")</f>
        <v/>
      </c>
      <c r="U4" s="2" t="str">
        <f aca="false">IF(M4,$A4+Q4*($B4-$A4),"")</f>
        <v/>
      </c>
      <c r="V4" s="0" t="str">
        <f aca="false">IF(N4,$A4+R4*($B4-$A4),"")</f>
        <v/>
      </c>
    </row>
    <row r="5" customFormat="false" ht="13" hidden="false" customHeight="false" outlineLevel="0" collapsed="false">
      <c r="A5" s="1" t="n">
        <v>15</v>
      </c>
      <c r="B5" s="1" t="n">
        <v>19</v>
      </c>
      <c r="D5" s="1" t="n">
        <v>300</v>
      </c>
      <c r="E5" s="0" t="n">
        <v>157</v>
      </c>
      <c r="F5" s="1" t="n">
        <v>4</v>
      </c>
      <c r="H5" s="0" t="n">
        <f aca="false">D5+H4</f>
        <v>624</v>
      </c>
      <c r="I5" s="0" t="n">
        <f aca="false">E5+I4</f>
        <v>202</v>
      </c>
      <c r="J5" s="0" t="n">
        <f aca="false">F5+J4</f>
        <v>4</v>
      </c>
      <c r="L5" s="2" t="n">
        <f aca="false">AND(H4&lt;$N$1,H5&gt;=$N$1)</f>
        <v>0</v>
      </c>
      <c r="M5" s="2" t="n">
        <f aca="false">AND(I4&lt;$N$1,I5&gt;=$N$1)</f>
        <v>1</v>
      </c>
      <c r="N5" s="2" t="n">
        <f aca="false">AND(J4&lt;$N$1,J5&gt;=$N$1)</f>
        <v>0</v>
      </c>
      <c r="P5" s="2" t="str">
        <f aca="false">IF(L5,(D5-(H5-$N$1))/D5,"")</f>
        <v/>
      </c>
      <c r="Q5" s="2" t="n">
        <f aca="false">IF(M5,(E5-(I5-$N$1))/E5,"")</f>
        <v>0.0318471337579618</v>
      </c>
      <c r="R5" s="2" t="str">
        <f aca="false">IF(N5,(F5-(J5-$N$1))/F5,"")</f>
        <v/>
      </c>
      <c r="T5" s="0" t="str">
        <f aca="false">IF(L5,$A5+P5*($B5-$A5),"")</f>
        <v/>
      </c>
      <c r="U5" s="0" t="n">
        <f aca="false">IF(M5,$A5+Q5*($B5-$A5),"")</f>
        <v>15.1273885350318</v>
      </c>
      <c r="V5" s="0" t="str">
        <f aca="false">IF(N5,$A5+R5*($B5-$A5),"")</f>
        <v/>
      </c>
    </row>
    <row r="6" customFormat="false" ht="13" hidden="false" customHeight="false" outlineLevel="0" collapsed="false">
      <c r="A6" s="1" t="n">
        <v>20</v>
      </c>
      <c r="B6" s="1" t="n">
        <v>24</v>
      </c>
      <c r="D6" s="1" t="n">
        <v>176</v>
      </c>
      <c r="E6" s="0" t="n">
        <v>153</v>
      </c>
      <c r="F6" s="1" t="n">
        <v>16</v>
      </c>
      <c r="H6" s="0" t="n">
        <f aca="false">D6+H5</f>
        <v>800</v>
      </c>
      <c r="I6" s="0" t="n">
        <f aca="false">E6+I5</f>
        <v>355</v>
      </c>
      <c r="J6" s="0" t="n">
        <f aca="false">F6+J5</f>
        <v>20</v>
      </c>
      <c r="L6" s="2" t="n">
        <f aca="false">AND(H5&lt;$N$1,H6&gt;=$N$1)</f>
        <v>0</v>
      </c>
      <c r="M6" s="2" t="n">
        <f aca="false">AND(I5&lt;$N$1,I6&gt;=$N$1)</f>
        <v>0</v>
      </c>
      <c r="N6" s="2" t="n">
        <f aca="false">AND(J5&lt;$N$1,J6&gt;=$N$1)</f>
        <v>0</v>
      </c>
      <c r="P6" s="2" t="str">
        <f aca="false">IF(L6,(D6-(H6-$N$1))/D6,"")</f>
        <v/>
      </c>
      <c r="Q6" s="2" t="str">
        <f aca="false">IF(M6,(E6-(I6-$N$1))/E6,"")</f>
        <v/>
      </c>
      <c r="R6" s="2" t="str">
        <f aca="false">IF(N6,(F6-(J6-$N$1))/F6,"")</f>
        <v/>
      </c>
      <c r="T6" s="0" t="str">
        <f aca="false">IF(L6,$A6+P6*($B6-$A6),"")</f>
        <v/>
      </c>
      <c r="U6" s="0" t="str">
        <f aca="false">IF(M6,$A6+Q6*($B6-$A6),"")</f>
        <v/>
      </c>
      <c r="V6" s="0" t="str">
        <f aca="false">IF(N6,$A6+R6*($B6-$A6),"")</f>
        <v/>
      </c>
    </row>
    <row r="7" customFormat="false" ht="13" hidden="false" customHeight="false" outlineLevel="0" collapsed="false">
      <c r="A7" s="1" t="n">
        <v>25</v>
      </c>
      <c r="B7" s="1" t="n">
        <v>29</v>
      </c>
      <c r="D7" s="1" t="n">
        <v>150</v>
      </c>
      <c r="E7" s="0" t="n">
        <v>300</v>
      </c>
      <c r="F7" s="1" t="n">
        <v>107</v>
      </c>
      <c r="H7" s="0" t="n">
        <f aca="false">D7+H6</f>
        <v>950</v>
      </c>
      <c r="I7" s="0" t="n">
        <f aca="false">E7+I6</f>
        <v>655</v>
      </c>
      <c r="J7" s="0" t="n">
        <f aca="false">F7+J6</f>
        <v>127</v>
      </c>
      <c r="L7" s="2" t="n">
        <f aca="false">AND(H6&lt;$N$1,H7&gt;=$N$1)</f>
        <v>0</v>
      </c>
      <c r="M7" s="2" t="n">
        <f aca="false">AND(I6&lt;$N$1,I7&gt;=$N$1)</f>
        <v>0</v>
      </c>
      <c r="N7" s="2" t="n">
        <f aca="false">AND(J6&lt;$N$1,J7&gt;=$N$1)</f>
        <v>1</v>
      </c>
      <c r="P7" s="2" t="str">
        <f aca="false">IF(L7,(D7-(H7-$N$1))/D7,"")</f>
        <v/>
      </c>
      <c r="Q7" s="2" t="str">
        <f aca="false">IF(M7,(E7-(I7-$N$1))/E7,"")</f>
        <v/>
      </c>
      <c r="R7" s="2" t="n">
        <f aca="false">IF(N7,(F7-(J7-$N$1))/F7,"")</f>
        <v>0.280373831775701</v>
      </c>
      <c r="T7" s="0" t="str">
        <f aca="false">IF(L7,$A7+P7*($B7-$A7),"")</f>
        <v/>
      </c>
      <c r="U7" s="0" t="str">
        <f aca="false">IF(M7,$A7+Q7*($B7-$A7),"")</f>
        <v/>
      </c>
      <c r="V7" s="0" t="n">
        <f aca="false">IF(N7,$A7+R7*($B7-$A7),"")</f>
        <v>26.1214953271028</v>
      </c>
    </row>
    <row r="8" customFormat="false" ht="13" hidden="false" customHeight="false" outlineLevel="0" collapsed="false">
      <c r="A8" s="1" t="n">
        <v>30</v>
      </c>
      <c r="B8" s="1" t="n">
        <v>34</v>
      </c>
      <c r="D8" s="1" t="n">
        <v>43</v>
      </c>
      <c r="E8" s="0" t="n">
        <v>248</v>
      </c>
      <c r="F8" s="1" t="n">
        <v>242</v>
      </c>
      <c r="H8" s="0" t="n">
        <f aca="false">D8+H7</f>
        <v>993</v>
      </c>
      <c r="I8" s="0" t="n">
        <f aca="false">E8+I7</f>
        <v>903</v>
      </c>
      <c r="J8" s="0" t="n">
        <f aca="false">F8+J7</f>
        <v>369</v>
      </c>
      <c r="L8" s="2" t="n">
        <f aca="false">AND(H7&lt;$N$1,H8&gt;=$N$1)</f>
        <v>0</v>
      </c>
      <c r="M8" s="2" t="n">
        <f aca="false">AND(I7&lt;$N$1,I8&gt;=$N$1)</f>
        <v>0</v>
      </c>
      <c r="N8" s="2" t="n">
        <f aca="false">AND(J7&lt;$N$1,J8&gt;=$N$1)</f>
        <v>0</v>
      </c>
      <c r="P8" s="2" t="str">
        <f aca="false">IF(L8,(D8-(H8-$N$1))/D8,"")</f>
        <v/>
      </c>
      <c r="Q8" s="2" t="str">
        <f aca="false">IF(M8,(E8-(I8-$N$1))/E8,"")</f>
        <v/>
      </c>
      <c r="R8" s="2" t="str">
        <f aca="false">IF(N8,(F8-(J8-$N$1))/F8,"")</f>
        <v/>
      </c>
      <c r="T8" s="0" t="str">
        <f aca="false">IF(L8,$A8+P8*($B8-$A8),"")</f>
        <v/>
      </c>
      <c r="U8" s="0" t="str">
        <f aca="false">IF(M8,$A8+Q8*($B8-$A8),"")</f>
        <v/>
      </c>
      <c r="V8" s="0" t="str">
        <f aca="false">IF(N8,$A8+R8*($B8-$A8),"")</f>
        <v/>
      </c>
    </row>
    <row r="9" customFormat="false" ht="13" hidden="false" customHeight="false" outlineLevel="0" collapsed="false">
      <c r="A9" s="1" t="n">
        <v>35</v>
      </c>
      <c r="B9" s="1" t="n">
        <v>39</v>
      </c>
      <c r="D9" s="1" t="n">
        <v>6</v>
      </c>
      <c r="E9" s="0" t="n">
        <v>86</v>
      </c>
      <c r="F9" s="1" t="n">
        <v>317</v>
      </c>
      <c r="H9" s="0" t="n">
        <f aca="false">D9+H8</f>
        <v>999</v>
      </c>
      <c r="I9" s="0" t="n">
        <f aca="false">E9+I8</f>
        <v>989</v>
      </c>
      <c r="J9" s="0" t="n">
        <f aca="false">F9+J8</f>
        <v>686</v>
      </c>
      <c r="L9" s="2" t="n">
        <f aca="false">AND(H8&lt;$N$1,H9&gt;=$N$1)</f>
        <v>0</v>
      </c>
      <c r="M9" s="2" t="n">
        <f aca="false">AND(I8&lt;$N$1,I9&gt;=$N$1)</f>
        <v>0</v>
      </c>
      <c r="N9" s="2" t="n">
        <f aca="false">AND(J8&lt;$N$1,J9&gt;=$N$1)</f>
        <v>0</v>
      </c>
      <c r="P9" s="2" t="str">
        <f aca="false">IF(L9,(D9-(H9-$N$1))/D9,"")</f>
        <v/>
      </c>
      <c r="Q9" s="2" t="str">
        <f aca="false">IF(M9,(E9-(I9-$N$1))/E9,"")</f>
        <v/>
      </c>
      <c r="R9" s="2" t="str">
        <f aca="false">IF(N9,(F9-(J9-$N$1))/F9,"")</f>
        <v/>
      </c>
      <c r="T9" s="0" t="str">
        <f aca="false">IF(L9,$A9+P9*($B9-$A9),"")</f>
        <v/>
      </c>
      <c r="U9" s="0" t="str">
        <f aca="false">IF(M9,$A9+Q9*($B9-$A9),"")</f>
        <v/>
      </c>
      <c r="V9" s="0" t="str">
        <f aca="false">IF(N9,$A9+R9*($B9-$A9),"")</f>
        <v/>
      </c>
    </row>
    <row r="10" customFormat="false" ht="13" hidden="false" customHeight="false" outlineLevel="0" collapsed="false">
      <c r="A10" s="1" t="n">
        <v>40</v>
      </c>
      <c r="B10" s="1" t="n">
        <v>49</v>
      </c>
      <c r="D10" s="1" t="n">
        <v>1</v>
      </c>
      <c r="E10" s="0" t="n">
        <v>11</v>
      </c>
      <c r="F10" s="1" t="n">
        <v>314</v>
      </c>
      <c r="H10" s="0" t="n">
        <f aca="false">D10+H9</f>
        <v>1000</v>
      </c>
      <c r="I10" s="0" t="n">
        <f aca="false">E10+I9</f>
        <v>1000</v>
      </c>
      <c r="J10" s="0" t="n">
        <f aca="false">F10+J9</f>
        <v>1000</v>
      </c>
      <c r="L10" s="2" t="n">
        <f aca="false">AND(H9&lt;$N$1,H10&gt;=$N$1)</f>
        <v>0</v>
      </c>
      <c r="M10" s="2" t="n">
        <f aca="false">AND(I9&lt;$N$1,I10&gt;=$N$1)</f>
        <v>0</v>
      </c>
      <c r="N10" s="2" t="n">
        <f aca="false">AND(J9&lt;$N$1,J10&gt;=$N$1)</f>
        <v>0</v>
      </c>
      <c r="P10" s="2" t="str">
        <f aca="false">IF(L10,(D10-(H10-$N$1))/D10,"")</f>
        <v/>
      </c>
      <c r="Q10" s="2" t="str">
        <f aca="false">IF(M10,(E10-(I10-$N$1))/E10,"")</f>
        <v/>
      </c>
      <c r="R10" s="2" t="str">
        <f aca="false">IF(N10,(F10-(J10-$N$1))/F10,"")</f>
        <v/>
      </c>
      <c r="T10" s="0" t="str">
        <f aca="false">IF(L10,$A10+P10*($B10-$A10),"")</f>
        <v/>
      </c>
      <c r="U10" s="0" t="str">
        <f aca="false">IF(M10,$A10+Q10*($B10-$A10),"")</f>
        <v/>
      </c>
      <c r="V10" s="0" t="str">
        <f aca="false">IF(N10,$A10+R10*($B10-$A10),"")</f>
        <v/>
      </c>
    </row>
    <row r="12" customFormat="false" ht="12.8" hidden="false" customHeight="false" outlineLevel="0" collapsed="false">
      <c r="A12" s="0" t="s">
        <v>8</v>
      </c>
      <c r="D12" s="0" t="n">
        <f aca="false">(SUMPRODUCT($A3:$A10,D3:D10)+SUMPRODUCT($B3:$B10,D3:D10))/(SUM(D3:D10)*2)</f>
        <v>17.8175</v>
      </c>
      <c r="E12" s="0" t="n">
        <f aca="false">(SUMPRODUCT($A3:$A10,E3:E10)+SUMPRODUCT($B3:$B10,E3:E10))/(SUM(E3:E10)*2)</f>
        <v>26.26</v>
      </c>
      <c r="F12" s="0" t="n">
        <f aca="false">(SUMPRODUCT($A3:$A10,F3:F10)+SUMPRODUCT($B3:$B10,F3:F10))/(SUM(F3:F10)*2)</f>
        <v>36.755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2025-12-05T03:39:02Z</dcterms:created>
  <dc:creator/>
  <dc:description/>
  <dc:language>en-GB</dc:language>
  <cp:lastModifiedBy/>
  <dcterms:modified xsi:type="dcterms:W3CDTF">2025-12-05T04:15:35Z</dcterms:modified>
  <cp:revision>1</cp:revision>
  <dc:subject/>
  <dc:title/>
</cp:coreProperties>
</file>